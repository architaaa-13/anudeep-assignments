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D1FE79A2-3136-439B-B653-93753E389EEE}" xr6:coauthVersionLast="37" xr6:coauthVersionMax="37" xr10:uidLastSave="{00000000-0000-0000-0000-000000000000}"/>
  <bookViews>
    <workbookView xWindow="0" yWindow="0" windowWidth="23040" windowHeight="8940" xr2:uid="{00000000-000D-0000-FFFF-FFFF00000000}"/>
  </bookViews>
  <sheets>
    <sheet name="SalesData" sheetId="1" r:id="rId1"/>
  </sheets>
  <calcPr calcId="179021"/>
</workbook>
</file>

<file path=xl/calcChain.xml><?xml version="1.0" encoding="utf-8"?>
<calcChain xmlns="http://schemas.openxmlformats.org/spreadsheetml/2006/main">
  <c r="M2" i="1" l="1"/>
  <c r="L2" i="1"/>
  <c r="K2" i="1"/>
  <c r="M7" i="1"/>
  <c r="M6" i="1"/>
  <c r="M5" i="1"/>
  <c r="M4" i="1"/>
  <c r="M3" i="1"/>
  <c r="J2" i="1"/>
  <c r="I2" i="1"/>
  <c r="H2" i="1"/>
  <c r="L3" i="1"/>
  <c r="L4" i="1"/>
  <c r="L5" i="1"/>
  <c r="L6" i="1"/>
  <c r="L7" i="1"/>
  <c r="I3" i="1"/>
  <c r="I4" i="1"/>
  <c r="I5" i="1"/>
  <c r="I6" i="1"/>
  <c r="I7" i="1"/>
  <c r="K3" i="1"/>
  <c r="K4" i="1"/>
  <c r="K5" i="1"/>
  <c r="K6" i="1"/>
  <c r="K7" i="1"/>
  <c r="J3" i="1"/>
  <c r="J4" i="1"/>
  <c r="J5" i="1"/>
  <c r="J6" i="1"/>
  <c r="J7" i="1"/>
  <c r="H3" i="1"/>
  <c r="H4" i="1"/>
  <c r="H5" i="1"/>
  <c r="H6" i="1"/>
  <c r="H7" i="1"/>
  <c r="G2" i="1"/>
  <c r="G3" i="1"/>
  <c r="G4" i="1"/>
  <c r="G5" i="1"/>
  <c r="G7" i="1"/>
  <c r="G6" i="1"/>
  <c r="F7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<sst xmlns="http://schemas.openxmlformats.org/spreadsheetml/2006/main" count="33" uniqueCount="31">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</sst>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G1" zoomScale="83" workbookViewId="0">
      <selection activeCell="J21" sqref="J21"/>
    </sheetView>
  </sheetViews>
  <sheetFormatPr defaultRowHeight="14.4" x14ac:dyDescent="0.3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9.33203125" customWidth="1"/>
    <col min="11" max="11" width="16.5546875" customWidth="1"/>
    <col min="12" max="12" width="15.77734375" customWidth="1"/>
    <col min="13" max="13" width="13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IF(AND(E2="North",C2&gt;=D2),"Eligible","Not Eligible")</f>
        <v>Not Eligible</v>
      </c>
      <c r="H2">
        <f>IF(C2&gt;=200,10%,IF(C2&gt;=150,7%,5%) )</f>
        <v>0.05</v>
      </c>
      <c r="I2">
        <f>IF(C2&gt;=D2,C2*10%,C2*5%)</f>
        <v>6</v>
      </c>
      <c r="J2" t="str">
        <f>IF(C2&gt;=200,"Excellent",IF(C2&gt;=150,"Good","Needs Improvement") )</f>
        <v>Needs Improvement</v>
      </c>
      <c r="K2" t="str">
        <f>IF(C2&gt;200,"High",IF(100&gt;=C2&gt;=200,"Medium",IF(C2&lt;100,"Low")))</f>
        <v>Medium</v>
      </c>
      <c r="L2" t="str">
        <f>IF(AND(C2&gt;=150,E2="North"),"$500","$300")</f>
        <v>$300</v>
      </c>
      <c r="M2" t="str">
        <f>IF(C2&gt;=PERCENTILE(C2:C7,75%),"Yes","No")</f>
        <v>No</v>
      </c>
    </row>
    <row r="3" spans="1:13" x14ac:dyDescent="0.3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 t="shared" ref="F3:F6" si="0">IF(C3&gt;=D3,"Yes","No")</f>
        <v>Yes</v>
      </c>
      <c r="G3" t="str">
        <f t="shared" ref="G2:G5" si="1">IF(AND(E3="North",C3&gt;=D3),"Eligible","Not Eligible")</f>
        <v>Not Eligible</v>
      </c>
      <c r="H3">
        <f t="shared" ref="H3:H7" si="2">IF(C3&gt;=200,10%,IF(C3&gt;=150,7%,5%) )</f>
        <v>7.0000000000000007E-2</v>
      </c>
      <c r="I3">
        <f t="shared" ref="I3:I7" si="3">IF(C3&gt;=D3,C3*10%,C3*5%)</f>
        <v>15</v>
      </c>
      <c r="J3" t="str">
        <f t="shared" ref="J3:J7" si="4">IF(C3&gt;=200,"Excellent",IF(C3&gt;=150,"Good","Needs Improvement") )</f>
        <v>Good</v>
      </c>
      <c r="K3" t="str">
        <f t="shared" ref="K3:K7" si="5">IF(C3&gt;200,"High",IF(100&gt;=C3&gt;=200,"Medium",IF(C3&lt;100,"Low")))</f>
        <v>Medium</v>
      </c>
      <c r="L3" t="str">
        <f t="shared" ref="L3:L7" si="6">IF(AND(C3&gt;=150,E3="North"),"$500","$300")</f>
        <v>$300</v>
      </c>
      <c r="M3" t="str">
        <f>IF(C3&gt;=PERCENTILE(C2:C7,75%),"Yes","No")</f>
        <v>No</v>
      </c>
    </row>
    <row r="4" spans="1:13" x14ac:dyDescent="0.3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 t="shared" si="0"/>
        <v>Yes</v>
      </c>
      <c r="G4" t="str">
        <f t="shared" si="1"/>
        <v>Not Eligible</v>
      </c>
      <c r="H4">
        <f t="shared" si="2"/>
        <v>0.1</v>
      </c>
      <c r="I4">
        <f t="shared" si="3"/>
        <v>20</v>
      </c>
      <c r="J4" t="str">
        <f t="shared" si="4"/>
        <v>Excellent</v>
      </c>
      <c r="K4" t="str">
        <f t="shared" si="5"/>
        <v>Medium</v>
      </c>
      <c r="L4" t="str">
        <f t="shared" si="6"/>
        <v>$300</v>
      </c>
      <c r="M4" t="str">
        <f>IF(C4&gt;=PERCENTILE(C2:C7,75%),"Yes","No")</f>
        <v>Yes</v>
      </c>
    </row>
    <row r="5" spans="1:13" x14ac:dyDescent="0.3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 t="shared" si="0"/>
        <v>No</v>
      </c>
      <c r="G5" t="str">
        <f t="shared" si="1"/>
        <v>Not Eligible</v>
      </c>
      <c r="H5">
        <f t="shared" si="2"/>
        <v>0.05</v>
      </c>
      <c r="I5">
        <f t="shared" si="3"/>
        <v>4.5</v>
      </c>
      <c r="J5" t="str">
        <f t="shared" si="4"/>
        <v>Needs Improvement</v>
      </c>
      <c r="K5" t="str">
        <f t="shared" si="5"/>
        <v>Medium</v>
      </c>
      <c r="L5" t="str">
        <f t="shared" si="6"/>
        <v>$300</v>
      </c>
      <c r="M5" t="str">
        <f>IF(C5&gt;=PERCENTILE(C2:C7,75%),"Yes","No")</f>
        <v>No</v>
      </c>
    </row>
    <row r="6" spans="1:13" x14ac:dyDescent="0.3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 t="shared" si="0"/>
        <v>Yes</v>
      </c>
      <c r="G6" t="str">
        <f>IF(AND(E6="North",C6&gt;=D6),"Eligible","Not Eligible")</f>
        <v>Eligible</v>
      </c>
      <c r="H6">
        <f t="shared" si="2"/>
        <v>0.1</v>
      </c>
      <c r="I6">
        <f t="shared" si="3"/>
        <v>22</v>
      </c>
      <c r="J6" t="str">
        <f t="shared" si="4"/>
        <v>Excellent</v>
      </c>
      <c r="K6" t="str">
        <f t="shared" si="5"/>
        <v>High</v>
      </c>
      <c r="L6" t="str">
        <f t="shared" si="6"/>
        <v>$500</v>
      </c>
      <c r="M6" t="str">
        <f>IF(C6&gt;=PERCENTILE(C2:C7,75%),"Yes","No")</f>
        <v>Yes</v>
      </c>
    </row>
    <row r="7" spans="1:13" x14ac:dyDescent="0.3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>IF(C7&gt;=D7,"Yes","No")</f>
        <v>No</v>
      </c>
      <c r="G7" t="str">
        <f>IF(AND(E7="North",C7&gt;=D7),"Eligible","Not Eligible")</f>
        <v>Not Eligible</v>
      </c>
      <c r="H7">
        <f t="shared" si="2"/>
        <v>0.05</v>
      </c>
      <c r="I7">
        <f t="shared" si="3"/>
        <v>6.5</v>
      </c>
      <c r="J7" t="str">
        <f t="shared" si="4"/>
        <v>Needs Improvement</v>
      </c>
      <c r="K7" t="str">
        <f t="shared" si="5"/>
        <v>Medium</v>
      </c>
      <c r="L7" t="str">
        <f t="shared" si="6"/>
        <v>$300</v>
      </c>
      <c r="M7" t="str">
        <f>IF(C7&gt;=PERCENTILE(C2:C7,75%),"Yes","No")</f>
        <v>No</v>
      </c>
    </row>
    <row r="10" spans="1:13" x14ac:dyDescent="0.3">
      <c r="A10" t="s">
        <v>26</v>
      </c>
    </row>
    <row r="11" spans="1:13" x14ac:dyDescent="0.3">
      <c r="A11" t="s">
        <v>23</v>
      </c>
    </row>
    <row r="12" spans="1:13" x14ac:dyDescent="0.3">
      <c r="A12" t="s">
        <v>24</v>
      </c>
    </row>
    <row r="13" spans="1:13" x14ac:dyDescent="0.3">
      <c r="A13" t="s">
        <v>25</v>
      </c>
    </row>
    <row r="14" spans="1:13" ht="16.95" customHeight="1" x14ac:dyDescent="0.3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3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t="s">
        <v>27</v>
      </c>
    </row>
    <row r="17" spans="1:1" x14ac:dyDescent="0.3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2026-05-20T11:39:18Z</dcterms:created>
  <dcterms:modified xsi:type="dcterms:W3CDTF">2026-05-21T07:24:03Z</dcterms:modified>
</cp:coreProperties>
</file>