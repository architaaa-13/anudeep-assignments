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chita\Downloads\"/>
    </mc:Choice>
  </mc:AlternateContent>
  <xr:revisionPtr revIDLastSave="0" documentId="13_ncr:1_{34BF793A-0AC1-42A4-BCAE-733F57C4CF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  <sheet name="solutions" sheetId="6" r:id="rId2"/>
    <sheet name="ID_Name" sheetId="2" r:id="rId3"/>
    <sheet name="ID_Marks" sheetId="3" r:id="rId4"/>
    <sheet name="ID_City" sheetId="4" r:id="rId5"/>
    <sheet name="Sample_20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6" l="1"/>
  <c r="B53" i="6" l="1"/>
  <c r="B50" i="6"/>
  <c r="B47" i="6"/>
  <c r="B17" i="6"/>
  <c r="B59" i="6"/>
  <c r="B56" i="6"/>
  <c r="B44" i="6"/>
  <c r="B38" i="6"/>
  <c r="B35" i="6"/>
  <c r="B20" i="6"/>
  <c r="B14" i="6"/>
  <c r="B32" i="6"/>
  <c r="B29" i="6"/>
  <c r="B26" i="6"/>
  <c r="B23" i="6"/>
  <c r="B11" i="6"/>
  <c r="B8" i="6"/>
  <c r="B5" i="6"/>
  <c r="B2" i="6"/>
</calcChain>
</file>

<file path=xl/sharedStrings.xml><?xml version="1.0" encoding="utf-8"?>
<sst xmlns="http://schemas.openxmlformats.org/spreadsheetml/2006/main" count="321" uniqueCount="108">
  <si>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</si>
  <si>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</si>
  <si>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</si>
  <si>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</si>
  <si>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</si>
  <si>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</si>
  <si>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</si>
  <si>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</si>
  <si>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</si>
  <si>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</si>
  <si>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</si>
  <si>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</si>
  <si>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</si>
  <si>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</si>
  <si>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</si>
  <si>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</si>
  <si>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</si>
  <si>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</si>
  <si>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</si>
  <si>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</si>
  <si>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</si>
  <si>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</si>
  <si>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</si>
  <si>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</si>
  <si>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</si>
  <si>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</si>
  <si>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</si>
  <si>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</si>
  <si>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</si>
  <si>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</si>
  <si>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</si>
  <si>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</si>
  <si>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</si>
  <si>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</si>
  <si>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</si>
  <si>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</si>
  <si>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</si>
  <si>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</si>
  <si>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</si>
  <si>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</si>
  <si>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</si>
  <si>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</si>
  <si>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</si>
  <si>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</si>
  <si>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</si>
  <si>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</si>
  <si>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</si>
  <si>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</si>
  <si>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</si>
  <si>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</si>
  <si>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</si>
  <si>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</si>
  <si>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</si>
  <si>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</si>
  <si>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</si>
  <si>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</si>
  <si>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</si>
  <si>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</si>
  <si>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</si>
  <si>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</si>
  <si>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</si>
  <si>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 xml:space="preserve">Question 1: </t>
  </si>
  <si>
    <t>Find the Age of the student with ID = 10.</t>
  </si>
  <si>
    <t>Solution:</t>
  </si>
  <si>
    <t>Question 2:</t>
  </si>
  <si>
    <t>Solution :</t>
  </si>
  <si>
    <t>Find the Marks of the student with ID = 25.</t>
  </si>
  <si>
    <t>Question 3:</t>
  </si>
  <si>
    <t>Question 4:</t>
  </si>
  <si>
    <t>Question 5:</t>
  </si>
  <si>
    <t>Question 6:</t>
  </si>
  <si>
    <t>Question 7:</t>
  </si>
  <si>
    <t>Question 8:</t>
  </si>
  <si>
    <t>Question 9:</t>
  </si>
  <si>
    <t>Question 10:</t>
  </si>
  <si>
    <t>Question 11:</t>
  </si>
  <si>
    <t>Question 12:</t>
  </si>
  <si>
    <t>Question 13:</t>
  </si>
  <si>
    <t>Question 14:</t>
  </si>
  <si>
    <t>Question 15:</t>
  </si>
  <si>
    <t>Question 16:</t>
  </si>
  <si>
    <t>Question 17:</t>
  </si>
  <si>
    <t>Question 18:</t>
  </si>
  <si>
    <t>Question 19:</t>
  </si>
  <si>
    <t>Question 20:</t>
  </si>
  <si>
    <t>Find the City of the student with ID = 40.</t>
  </si>
  <si>
    <t>Find the Name of the student with ID = 7.</t>
  </si>
  <si>
    <t>Find the Marks of the student named Rohit Sharma.</t>
  </si>
  <si>
    <t>Find the Age of the student named Anjali Gupta.</t>
  </si>
  <si>
    <t>Find the City of the student named Neha Singh.</t>
  </si>
  <si>
    <t>Using ID_Marks sheet, fetch the marks of ID = 18.</t>
  </si>
  <si>
    <t>Using ID_City sheet, find the city of ID = 12.</t>
  </si>
  <si>
    <t>From ID_Name sheet, find the student name with ID = 30.</t>
  </si>
  <si>
    <t>From Students sheet, return the city of ID = 5.</t>
  </si>
  <si>
    <t>Return the marks of student whose ID = 33.</t>
  </si>
  <si>
    <t>Find the Name of student whose ID = 49.</t>
  </si>
  <si>
    <t>Find the Marks of student who lives in Lucknow (first match)</t>
  </si>
  <si>
    <t>From Sample_20 sheet, fetch the Age of student with ID = 22.</t>
  </si>
  <si>
    <t>From Sample_20, find City of ID = 37.</t>
  </si>
  <si>
    <t>Find the Age of the student named Arjun Yadav.</t>
  </si>
  <si>
    <t>Return the City of the student named Pooja Verma.</t>
  </si>
  <si>
    <t>Using VLOOKUP, return Marks of ID = 15 from ID_Marks.</t>
  </si>
  <si>
    <t>since no name anjali gupta in the data.</t>
  </si>
  <si>
    <t>Using VLOOKUP, return Name of ID = 28 from ID_Name.</t>
  </si>
  <si>
    <t>since no name NEHA SINGH in the data.</t>
  </si>
  <si>
    <t>since no ID = 37 in the data.</t>
  </si>
  <si>
    <t>since no name ARJUN YADAV in the data.</t>
  </si>
  <si>
    <t>since no name POOJA VERMA in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</si>
</sst>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FF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defaultRowHeight="14.4" x14ac:dyDescent="0.3"/>
  <cols>
    <col min="9" max="9" width="18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3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3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3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3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3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3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3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3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3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3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3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3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3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3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3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3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3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3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3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3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3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3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3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3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3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3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3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3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3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3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3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3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3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3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3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3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3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3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3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3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3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3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3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3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3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3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3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3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3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63E3-4320-419F-8E86-B1BEA3B7E32A}">
  <dimension ref="A1:C59"/>
  <sheetViews>
    <sheetView zoomScale="77" zoomScaleNormal="20" workbookViewId="0">
      <selection activeCell="G34" sqref="G34"/>
    </sheetView>
  </sheetViews>
  <sheetFormatPr defaultRowHeight="14.4" x14ac:dyDescent="0.3"/>
  <cols>
    <col min="1" max="1" width="12.5546875" style="2" customWidth="1"/>
    <col min="2" max="2" width="44.33203125" style="2" customWidth="1"/>
    <col min="3" max="16384" width="8.88671875" style="2"/>
  </cols>
  <sheetData>
    <row r="1" spans="1:2" x14ac:dyDescent="0.3">
      <c r="A1" s="2" t="s">
        <v>61</v>
      </c>
      <c r="B1" s="2" t="s">
        <v>62</v>
      </c>
    </row>
    <row r="2" spans="1:2" x14ac:dyDescent="0.3">
      <c r="A2" s="2" t="s">
        <v>63</v>
      </c>
      <c r="B2" s="2">
        <f>VLOOKUP(10,Students!A2:E14,3,FALSE)</f>
        <v>30</v>
      </c>
    </row>
    <row r="4" spans="1:2" x14ac:dyDescent="0.3">
      <c r="A4" s="2" t="s">
        <v>64</v>
      </c>
      <c r="B4" s="2" t="s">
        <v>66</v>
      </c>
    </row>
    <row r="5" spans="1:2" x14ac:dyDescent="0.3">
      <c r="A5" s="2" t="s">
        <v>65</v>
      </c>
      <c r="B5" s="2">
        <f>VLOOKUP(25,Students!A2:E28,4,FALSE)</f>
        <v>54</v>
      </c>
    </row>
    <row r="7" spans="1:2" x14ac:dyDescent="0.3">
      <c r="A7" s="2" t="s">
        <v>67</v>
      </c>
      <c r="B7" s="2" t="s">
        <v>85</v>
      </c>
    </row>
    <row r="8" spans="1:2" x14ac:dyDescent="0.3">
      <c r="A8" s="2" t="s">
        <v>65</v>
      </c>
      <c r="B8" s="2" t="str">
        <f>VLOOKUP(40,Students!A33:E45,5,FALSE)</f>
        <v>Agra</v>
      </c>
    </row>
    <row r="10" spans="1:2" x14ac:dyDescent="0.3">
      <c r="A10" s="2" t="s">
        <v>68</v>
      </c>
      <c r="B10" s="2" t="s">
        <v>86</v>
      </c>
    </row>
    <row r="11" spans="1:2" x14ac:dyDescent="0.3">
      <c r="A11" s="2" t="s">
        <v>65</v>
      </c>
      <c r="B11" s="2" t="str">
        <f>VLOOKUP(7,Students!A6:E15,2,FALSE)</f>
        <v>Suresh Yadav</v>
      </c>
    </row>
    <row r="13" spans="1:2" x14ac:dyDescent="0.3">
      <c r="A13" s="2" t="s">
        <v>69</v>
      </c>
      <c r="B13" s="2" t="s">
        <v>87</v>
      </c>
    </row>
    <row r="14" spans="1:2" x14ac:dyDescent="0.3">
      <c r="A14" s="2" t="s">
        <v>65</v>
      </c>
      <c r="B14" s="2">
        <f>VLOOKUP("Rohit Sharma",Students!B2:E51,3,FALSE)</f>
        <v>52</v>
      </c>
    </row>
    <row r="16" spans="1:2" x14ac:dyDescent="0.3">
      <c r="A16" s="2" t="s">
        <v>70</v>
      </c>
      <c r="B16" s="2" t="s">
        <v>88</v>
      </c>
    </row>
    <row r="17" spans="1:3" x14ac:dyDescent="0.3">
      <c r="A17" s="2" t="s">
        <v>65</v>
      </c>
      <c r="B17" s="3" t="e">
        <f>VLOOKUP("Anjali Gupta",Students!B2:E51,2,FALSE)</f>
        <v>#N/A</v>
      </c>
      <c r="C17" s="2" t="s">
        <v>102</v>
      </c>
    </row>
    <row r="19" spans="1:3" x14ac:dyDescent="0.3">
      <c r="A19" s="2" t="s">
        <v>71</v>
      </c>
      <c r="B19" s="2" t="s">
        <v>89</v>
      </c>
    </row>
    <row r="20" spans="1:3" x14ac:dyDescent="0.3">
      <c r="A20" s="2" t="s">
        <v>65</v>
      </c>
      <c r="B20" s="3" t="e">
        <f>VLOOKUP("Neha Singh",Students!B2:E51,4,FALSE)</f>
        <v>#N/A</v>
      </c>
      <c r="C20" s="2" t="s">
        <v>104</v>
      </c>
    </row>
    <row r="22" spans="1:3" x14ac:dyDescent="0.3">
      <c r="A22" s="2" t="s">
        <v>72</v>
      </c>
      <c r="B22" s="2" t="s">
        <v>90</v>
      </c>
    </row>
    <row r="23" spans="1:3" x14ac:dyDescent="0.3">
      <c r="A23" s="2" t="s">
        <v>63</v>
      </c>
      <c r="B23" s="2">
        <f>VLOOKUP(18,ID_Marks!A2:B21,2,FALSE)</f>
        <v>85</v>
      </c>
    </row>
    <row r="25" spans="1:3" x14ac:dyDescent="0.3">
      <c r="A25" s="2" t="s">
        <v>73</v>
      </c>
      <c r="B25" s="2" t="s">
        <v>91</v>
      </c>
    </row>
    <row r="26" spans="1:3" x14ac:dyDescent="0.3">
      <c r="A26" s="2" t="s">
        <v>65</v>
      </c>
      <c r="B26" s="2" t="str">
        <f>VLOOKUP(12,ID_City!A2:B16,2,FALSE)</f>
        <v>Patna</v>
      </c>
    </row>
    <row r="28" spans="1:3" x14ac:dyDescent="0.3">
      <c r="A28" s="2" t="s">
        <v>74</v>
      </c>
      <c r="B28" s="2" t="s">
        <v>92</v>
      </c>
    </row>
    <row r="29" spans="1:3" x14ac:dyDescent="0.3">
      <c r="A29" s="2" t="s">
        <v>65</v>
      </c>
      <c r="B29" s="2" t="str">
        <f>VLOOKUP(30,ID_Name!A15:C33,2,FALSE)</f>
        <v>Komal Sharma</v>
      </c>
    </row>
    <row r="31" spans="1:3" x14ac:dyDescent="0.3">
      <c r="A31" s="2" t="s">
        <v>75</v>
      </c>
      <c r="B31" s="2" t="s">
        <v>93</v>
      </c>
    </row>
    <row r="32" spans="1:3" x14ac:dyDescent="0.3">
      <c r="A32" s="2" t="s">
        <v>65</v>
      </c>
      <c r="B32" s="2" t="str">
        <f>VLOOKUP(5,Students!A2:E8,5,FALSE)</f>
        <v>Lucknow</v>
      </c>
    </row>
    <row r="34" spans="1:3" x14ac:dyDescent="0.3">
      <c r="A34" s="2" t="s">
        <v>76</v>
      </c>
      <c r="B34" s="2" t="s">
        <v>94</v>
      </c>
    </row>
    <row r="35" spans="1:3" x14ac:dyDescent="0.3">
      <c r="A35" s="2" t="s">
        <v>65</v>
      </c>
      <c r="B35" s="2">
        <f>VLOOKUP(33,Students!A23:E35,4,FALSE)</f>
        <v>82</v>
      </c>
    </row>
    <row r="37" spans="1:3" x14ac:dyDescent="0.3">
      <c r="A37" s="2" t="s">
        <v>77</v>
      </c>
      <c r="B37" s="2" t="s">
        <v>95</v>
      </c>
    </row>
    <row r="38" spans="1:3" x14ac:dyDescent="0.3">
      <c r="A38" s="2" t="s">
        <v>65</v>
      </c>
      <c r="B38" s="2" t="str">
        <f>VLOOKUP(49,Students!A38:E51,2,FALSE)</f>
        <v>Vivaan Jha</v>
      </c>
    </row>
    <row r="40" spans="1:3" x14ac:dyDescent="0.3">
      <c r="A40" s="2" t="s">
        <v>78</v>
      </c>
      <c r="B40" s="2" t="s">
        <v>96</v>
      </c>
    </row>
    <row r="41" spans="1:3" x14ac:dyDescent="0.3">
      <c r="A41" s="2" t="s">
        <v>65</v>
      </c>
      <c r="B41" s="2">
        <f>VLOOKUP("Lucknow",CHOOSE({1,2},Students!E2:E51,Students!D2:D51),2,FALSE)</f>
        <v>62</v>
      </c>
    </row>
    <row r="43" spans="1:3" x14ac:dyDescent="0.3">
      <c r="A43" s="2" t="s">
        <v>79</v>
      </c>
      <c r="B43" s="2" t="s">
        <v>97</v>
      </c>
    </row>
    <row r="44" spans="1:3" x14ac:dyDescent="0.3">
      <c r="A44" s="2" t="s">
        <v>63</v>
      </c>
      <c r="B44" s="2">
        <f>VLOOKUP(22,Sample_20!A2:E21,3,FALSE)</f>
        <v>28</v>
      </c>
    </row>
    <row r="46" spans="1:3" x14ac:dyDescent="0.3">
      <c r="A46" s="2" t="s">
        <v>80</v>
      </c>
      <c r="B46" s="2" t="s">
        <v>98</v>
      </c>
    </row>
    <row r="47" spans="1:3" x14ac:dyDescent="0.3">
      <c r="A47" s="2" t="s">
        <v>65</v>
      </c>
      <c r="B47" s="3" t="e">
        <f>VLOOKUP(37,Sample_20!A2:E21,5,FALSE)</f>
        <v>#N/A</v>
      </c>
      <c r="C47" s="2" t="s">
        <v>105</v>
      </c>
    </row>
    <row r="49" spans="1:3" x14ac:dyDescent="0.3">
      <c r="A49" s="2" t="s">
        <v>81</v>
      </c>
      <c r="B49" s="2" t="s">
        <v>99</v>
      </c>
    </row>
    <row r="50" spans="1:3" x14ac:dyDescent="0.3">
      <c r="A50" s="2" t="s">
        <v>65</v>
      </c>
      <c r="B50" s="3" t="e">
        <f>VLOOKUP("Arjun Yadav",Students!B2:E51,3,FALSE)</f>
        <v>#N/A</v>
      </c>
      <c r="C50" s="2" t="s">
        <v>106</v>
      </c>
    </row>
    <row r="52" spans="1:3" x14ac:dyDescent="0.3">
      <c r="A52" s="2" t="s">
        <v>82</v>
      </c>
      <c r="B52" s="2" t="s">
        <v>100</v>
      </c>
    </row>
    <row r="53" spans="1:3" x14ac:dyDescent="0.3">
      <c r="A53" s="2" t="s">
        <v>65</v>
      </c>
      <c r="B53" s="3" t="e">
        <f>VLOOKUP("Pooja Verma",Students!B2:E51,5,FALSE)</f>
        <v>#N/A</v>
      </c>
      <c r="C53" s="2" t="s">
        <v>107</v>
      </c>
    </row>
    <row r="55" spans="1:3" x14ac:dyDescent="0.3">
      <c r="A55" s="2" t="s">
        <v>83</v>
      </c>
      <c r="B55" s="2" t="s">
        <v>101</v>
      </c>
    </row>
    <row r="56" spans="1:3" x14ac:dyDescent="0.3">
      <c r="A56" s="2" t="s">
        <v>65</v>
      </c>
      <c r="B56" s="2">
        <f>VLOOKUP(15,ID_Marks!A9:B21,2,FALSE)</f>
        <v>51</v>
      </c>
    </row>
    <row r="58" spans="1:3" x14ac:dyDescent="0.3">
      <c r="A58" s="2" t="s">
        <v>84</v>
      </c>
      <c r="B58" s="2" t="s">
        <v>103</v>
      </c>
    </row>
    <row r="59" spans="1:3" x14ac:dyDescent="0.3">
      <c r="A59" s="2" t="s">
        <v>65</v>
      </c>
      <c r="B59" s="2" t="str">
        <f>VLOOKUP(28,ID_Name!A28:C37,2,FALSE)</f>
        <v>Harsh Gupta</v>
      </c>
    </row>
  </sheetData>
  <pageMargins left="0.7" right="0.7" top="0.75" bottom="0.75" header="0.3" footer="0.3"/>
  <ignoredErrors>
    <ignoredError sqref="B53 B50 B47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10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5</v>
      </c>
    </row>
    <row r="3" spans="1:2" x14ac:dyDescent="0.3">
      <c r="A3">
        <v>2</v>
      </c>
      <c r="B3" t="s">
        <v>7</v>
      </c>
    </row>
    <row r="4" spans="1:2" x14ac:dyDescent="0.3">
      <c r="A4">
        <v>3</v>
      </c>
      <c r="B4" t="s">
        <v>9</v>
      </c>
    </row>
    <row r="5" spans="1:2" x14ac:dyDescent="0.3">
      <c r="A5">
        <v>4</v>
      </c>
      <c r="B5" t="s">
        <v>11</v>
      </c>
    </row>
    <row r="6" spans="1:2" x14ac:dyDescent="0.3">
      <c r="A6">
        <v>5</v>
      </c>
      <c r="B6" t="s">
        <v>12</v>
      </c>
    </row>
    <row r="7" spans="1:2" x14ac:dyDescent="0.3">
      <c r="A7">
        <v>6</v>
      </c>
      <c r="B7" t="s">
        <v>14</v>
      </c>
    </row>
    <row r="8" spans="1:2" x14ac:dyDescent="0.3">
      <c r="A8">
        <v>7</v>
      </c>
      <c r="B8" t="s">
        <v>15</v>
      </c>
    </row>
    <row r="9" spans="1:2" x14ac:dyDescent="0.3">
      <c r="A9">
        <v>8</v>
      </c>
      <c r="B9" t="s">
        <v>17</v>
      </c>
    </row>
    <row r="10" spans="1:2" x14ac:dyDescent="0.3">
      <c r="A10">
        <v>9</v>
      </c>
      <c r="B10" t="s">
        <v>18</v>
      </c>
    </row>
    <row r="11" spans="1:2" x14ac:dyDescent="0.3">
      <c r="A11">
        <v>10</v>
      </c>
      <c r="B11" t="s">
        <v>19</v>
      </c>
    </row>
    <row r="12" spans="1:2" x14ac:dyDescent="0.3">
      <c r="A12">
        <v>11</v>
      </c>
      <c r="B12" t="s">
        <v>20</v>
      </c>
    </row>
    <row r="13" spans="1:2" x14ac:dyDescent="0.3">
      <c r="A13">
        <v>12</v>
      </c>
      <c r="B13" t="s">
        <v>21</v>
      </c>
    </row>
    <row r="14" spans="1:2" x14ac:dyDescent="0.3">
      <c r="A14">
        <v>13</v>
      </c>
      <c r="B14" t="s">
        <v>23</v>
      </c>
    </row>
    <row r="15" spans="1:2" x14ac:dyDescent="0.3">
      <c r="A15">
        <v>14</v>
      </c>
      <c r="B15" t="s">
        <v>24</v>
      </c>
    </row>
    <row r="16" spans="1:2" x14ac:dyDescent="0.3">
      <c r="A16">
        <v>15</v>
      </c>
      <c r="B16" t="s">
        <v>25</v>
      </c>
    </row>
    <row r="17" spans="1:2" x14ac:dyDescent="0.3">
      <c r="A17">
        <v>16</v>
      </c>
      <c r="B17" t="s">
        <v>26</v>
      </c>
    </row>
    <row r="18" spans="1:2" x14ac:dyDescent="0.3">
      <c r="A18">
        <v>17</v>
      </c>
      <c r="B18" t="s">
        <v>28</v>
      </c>
    </row>
    <row r="19" spans="1:2" x14ac:dyDescent="0.3">
      <c r="A19">
        <v>18</v>
      </c>
      <c r="B19" t="s">
        <v>30</v>
      </c>
    </row>
    <row r="20" spans="1:2" x14ac:dyDescent="0.3">
      <c r="A20">
        <v>19</v>
      </c>
      <c r="B20" t="s">
        <v>31</v>
      </c>
    </row>
    <row r="21" spans="1:2" x14ac:dyDescent="0.3">
      <c r="A21">
        <v>20</v>
      </c>
      <c r="B21" t="s">
        <v>32</v>
      </c>
    </row>
    <row r="22" spans="1:2" x14ac:dyDescent="0.3">
      <c r="A22">
        <v>21</v>
      </c>
      <c r="B22" t="s">
        <v>33</v>
      </c>
    </row>
    <row r="23" spans="1:2" x14ac:dyDescent="0.3">
      <c r="A23">
        <v>22</v>
      </c>
      <c r="B23" t="s">
        <v>34</v>
      </c>
    </row>
    <row r="24" spans="1:2" x14ac:dyDescent="0.3">
      <c r="A24">
        <v>23</v>
      </c>
      <c r="B24" t="s">
        <v>35</v>
      </c>
    </row>
    <row r="25" spans="1:2" x14ac:dyDescent="0.3">
      <c r="A25">
        <v>24</v>
      </c>
      <c r="B25" t="s">
        <v>7</v>
      </c>
    </row>
    <row r="26" spans="1:2" x14ac:dyDescent="0.3">
      <c r="A26">
        <v>25</v>
      </c>
      <c r="B26" t="s">
        <v>21</v>
      </c>
    </row>
    <row r="27" spans="1:2" x14ac:dyDescent="0.3">
      <c r="A27">
        <v>26</v>
      </c>
      <c r="B27" t="s">
        <v>36</v>
      </c>
    </row>
    <row r="28" spans="1:2" x14ac:dyDescent="0.3">
      <c r="A28">
        <v>27</v>
      </c>
      <c r="B28" t="s">
        <v>37</v>
      </c>
    </row>
    <row r="29" spans="1:2" x14ac:dyDescent="0.3">
      <c r="A29">
        <v>28</v>
      </c>
      <c r="B29" t="s">
        <v>38</v>
      </c>
    </row>
    <row r="30" spans="1:2" x14ac:dyDescent="0.3">
      <c r="A30">
        <v>29</v>
      </c>
      <c r="B30" t="s">
        <v>39</v>
      </c>
    </row>
    <row r="31" spans="1:2" x14ac:dyDescent="0.3">
      <c r="A31">
        <v>30</v>
      </c>
      <c r="B31" t="s">
        <v>40</v>
      </c>
    </row>
    <row r="32" spans="1:2" x14ac:dyDescent="0.3">
      <c r="A32">
        <v>31</v>
      </c>
      <c r="B32" t="s">
        <v>41</v>
      </c>
    </row>
    <row r="33" spans="1:2" x14ac:dyDescent="0.3">
      <c r="A33">
        <v>32</v>
      </c>
      <c r="B33" t="s">
        <v>42</v>
      </c>
    </row>
    <row r="34" spans="1:2" x14ac:dyDescent="0.3">
      <c r="A34">
        <v>33</v>
      </c>
      <c r="B34" t="s">
        <v>43</v>
      </c>
    </row>
    <row r="35" spans="1:2" x14ac:dyDescent="0.3">
      <c r="A35">
        <v>34</v>
      </c>
      <c r="B35" t="s">
        <v>44</v>
      </c>
    </row>
    <row r="36" spans="1:2" x14ac:dyDescent="0.3">
      <c r="A36">
        <v>35</v>
      </c>
      <c r="B36" t="s">
        <v>45</v>
      </c>
    </row>
    <row r="37" spans="1:2" x14ac:dyDescent="0.3">
      <c r="A37">
        <v>36</v>
      </c>
      <c r="B37" t="s">
        <v>46</v>
      </c>
    </row>
    <row r="38" spans="1:2" x14ac:dyDescent="0.3">
      <c r="A38">
        <v>37</v>
      </c>
      <c r="B38" t="s">
        <v>47</v>
      </c>
    </row>
    <row r="39" spans="1:2" x14ac:dyDescent="0.3">
      <c r="A39">
        <v>38</v>
      </c>
      <c r="B39" t="s">
        <v>48</v>
      </c>
    </row>
    <row r="40" spans="1:2" x14ac:dyDescent="0.3">
      <c r="A40">
        <v>39</v>
      </c>
      <c r="B40" t="s">
        <v>49</v>
      </c>
    </row>
    <row r="41" spans="1:2" x14ac:dyDescent="0.3">
      <c r="A41">
        <v>40</v>
      </c>
      <c r="B41" t="s">
        <v>50</v>
      </c>
    </row>
    <row r="42" spans="1:2" x14ac:dyDescent="0.3">
      <c r="A42">
        <v>41</v>
      </c>
      <c r="B42" t="s">
        <v>51</v>
      </c>
    </row>
    <row r="43" spans="1:2" x14ac:dyDescent="0.3">
      <c r="A43">
        <v>42</v>
      </c>
      <c r="B43" t="s">
        <v>52</v>
      </c>
    </row>
    <row r="44" spans="1:2" x14ac:dyDescent="0.3">
      <c r="A44">
        <v>43</v>
      </c>
      <c r="B44" t="s">
        <v>53</v>
      </c>
    </row>
    <row r="45" spans="1:2" x14ac:dyDescent="0.3">
      <c r="A45">
        <v>44</v>
      </c>
      <c r="B45" t="s">
        <v>54</v>
      </c>
    </row>
    <row r="46" spans="1:2" x14ac:dyDescent="0.3">
      <c r="A46">
        <v>45</v>
      </c>
      <c r="B46" t="s">
        <v>55</v>
      </c>
    </row>
    <row r="47" spans="1:2" x14ac:dyDescent="0.3">
      <c r="A47">
        <v>46</v>
      </c>
      <c r="B47" t="s">
        <v>56</v>
      </c>
    </row>
    <row r="48" spans="1:2" x14ac:dyDescent="0.3">
      <c r="A48">
        <v>47</v>
      </c>
      <c r="B48" t="s">
        <v>57</v>
      </c>
    </row>
    <row r="49" spans="1:2" x14ac:dyDescent="0.3">
      <c r="A49">
        <v>48</v>
      </c>
      <c r="B49" t="s">
        <v>58</v>
      </c>
    </row>
    <row r="50" spans="1:2" x14ac:dyDescent="0.3">
      <c r="A50">
        <v>49</v>
      </c>
      <c r="B50" t="s">
        <v>59</v>
      </c>
    </row>
    <row r="51" spans="1:2" x14ac:dyDescent="0.3">
      <c r="A51">
        <v>50</v>
      </c>
      <c r="B51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3</v>
      </c>
    </row>
    <row r="2" spans="1:2" x14ac:dyDescent="0.3">
      <c r="A2">
        <v>1</v>
      </c>
      <c r="B2">
        <v>69</v>
      </c>
    </row>
    <row r="3" spans="1:2" x14ac:dyDescent="0.3">
      <c r="A3">
        <v>2</v>
      </c>
      <c r="B3">
        <v>49</v>
      </c>
    </row>
    <row r="4" spans="1:2" x14ac:dyDescent="0.3">
      <c r="A4">
        <v>3</v>
      </c>
      <c r="B4">
        <v>88</v>
      </c>
    </row>
    <row r="5" spans="1:2" x14ac:dyDescent="0.3">
      <c r="A5">
        <v>4</v>
      </c>
      <c r="B5">
        <v>60</v>
      </c>
    </row>
    <row r="6" spans="1:2" x14ac:dyDescent="0.3">
      <c r="A6">
        <v>5</v>
      </c>
      <c r="B6">
        <v>62</v>
      </c>
    </row>
    <row r="7" spans="1:2" x14ac:dyDescent="0.3">
      <c r="A7">
        <v>6</v>
      </c>
      <c r="B7">
        <v>66</v>
      </c>
    </row>
    <row r="8" spans="1:2" x14ac:dyDescent="0.3">
      <c r="A8">
        <v>7</v>
      </c>
      <c r="B8">
        <v>64</v>
      </c>
    </row>
    <row r="9" spans="1:2" x14ac:dyDescent="0.3">
      <c r="A9">
        <v>8</v>
      </c>
      <c r="B9">
        <v>73</v>
      </c>
    </row>
    <row r="10" spans="1:2" x14ac:dyDescent="0.3">
      <c r="A10">
        <v>9</v>
      </c>
      <c r="B10">
        <v>83</v>
      </c>
    </row>
    <row r="11" spans="1:2" x14ac:dyDescent="0.3">
      <c r="A11">
        <v>10</v>
      </c>
      <c r="B11">
        <v>52</v>
      </c>
    </row>
    <row r="12" spans="1:2" x14ac:dyDescent="0.3">
      <c r="A12">
        <v>11</v>
      </c>
      <c r="B12">
        <v>92</v>
      </c>
    </row>
    <row r="13" spans="1:2" x14ac:dyDescent="0.3">
      <c r="A13">
        <v>12</v>
      </c>
      <c r="B13">
        <v>60</v>
      </c>
    </row>
    <row r="14" spans="1:2" x14ac:dyDescent="0.3">
      <c r="A14">
        <v>13</v>
      </c>
      <c r="B14">
        <v>54</v>
      </c>
    </row>
    <row r="15" spans="1:2" x14ac:dyDescent="0.3">
      <c r="A15">
        <v>14</v>
      </c>
      <c r="B15">
        <v>77</v>
      </c>
    </row>
    <row r="16" spans="1:2" x14ac:dyDescent="0.3">
      <c r="A16">
        <v>15</v>
      </c>
      <c r="B16">
        <v>51</v>
      </c>
    </row>
    <row r="17" spans="1:2" x14ac:dyDescent="0.3">
      <c r="A17">
        <v>16</v>
      </c>
      <c r="B17">
        <v>99</v>
      </c>
    </row>
    <row r="18" spans="1:2" x14ac:dyDescent="0.3">
      <c r="A18">
        <v>17</v>
      </c>
      <c r="B18">
        <v>87</v>
      </c>
    </row>
    <row r="19" spans="1:2" x14ac:dyDescent="0.3">
      <c r="A19">
        <v>18</v>
      </c>
      <c r="B19">
        <v>85</v>
      </c>
    </row>
    <row r="20" spans="1:2" x14ac:dyDescent="0.3">
      <c r="A20">
        <v>19</v>
      </c>
      <c r="B20">
        <v>53</v>
      </c>
    </row>
    <row r="21" spans="1:2" x14ac:dyDescent="0.3">
      <c r="A21">
        <v>20</v>
      </c>
      <c r="B21">
        <v>50</v>
      </c>
    </row>
    <row r="22" spans="1:2" x14ac:dyDescent="0.3">
      <c r="A22">
        <v>21</v>
      </c>
      <c r="B22">
        <v>76</v>
      </c>
    </row>
    <row r="23" spans="1:2" x14ac:dyDescent="0.3">
      <c r="A23">
        <v>22</v>
      </c>
      <c r="B23">
        <v>43</v>
      </c>
    </row>
    <row r="24" spans="1:2" x14ac:dyDescent="0.3">
      <c r="A24">
        <v>23</v>
      </c>
      <c r="B24">
        <v>81</v>
      </c>
    </row>
    <row r="25" spans="1:2" x14ac:dyDescent="0.3">
      <c r="A25">
        <v>24</v>
      </c>
      <c r="B25">
        <v>68</v>
      </c>
    </row>
    <row r="26" spans="1:2" x14ac:dyDescent="0.3">
      <c r="A26">
        <v>25</v>
      </c>
      <c r="B26">
        <v>54</v>
      </c>
    </row>
    <row r="27" spans="1:2" x14ac:dyDescent="0.3">
      <c r="A27">
        <v>26</v>
      </c>
      <c r="B27">
        <v>48</v>
      </c>
    </row>
    <row r="28" spans="1:2" x14ac:dyDescent="0.3">
      <c r="A28">
        <v>27</v>
      </c>
      <c r="B28">
        <v>71</v>
      </c>
    </row>
    <row r="29" spans="1:2" x14ac:dyDescent="0.3">
      <c r="A29">
        <v>28</v>
      </c>
      <c r="B29">
        <v>57</v>
      </c>
    </row>
    <row r="30" spans="1:2" x14ac:dyDescent="0.3">
      <c r="A30">
        <v>29</v>
      </c>
      <c r="B30">
        <v>78</v>
      </c>
    </row>
    <row r="31" spans="1:2" x14ac:dyDescent="0.3">
      <c r="A31">
        <v>30</v>
      </c>
      <c r="B31">
        <v>90</v>
      </c>
    </row>
    <row r="32" spans="1:2" x14ac:dyDescent="0.3">
      <c r="A32">
        <v>31</v>
      </c>
      <c r="B32">
        <v>79</v>
      </c>
    </row>
    <row r="33" spans="1:2" x14ac:dyDescent="0.3">
      <c r="A33">
        <v>32</v>
      </c>
      <c r="B33">
        <v>89</v>
      </c>
    </row>
    <row r="34" spans="1:2" x14ac:dyDescent="0.3">
      <c r="A34">
        <v>33</v>
      </c>
      <c r="B34">
        <v>82</v>
      </c>
    </row>
    <row r="35" spans="1:2" x14ac:dyDescent="0.3">
      <c r="A35">
        <v>34</v>
      </c>
      <c r="B35">
        <v>93</v>
      </c>
    </row>
    <row r="36" spans="1:2" x14ac:dyDescent="0.3">
      <c r="A36">
        <v>35</v>
      </c>
      <c r="B36">
        <v>42</v>
      </c>
    </row>
    <row r="37" spans="1:2" x14ac:dyDescent="0.3">
      <c r="A37">
        <v>36</v>
      </c>
      <c r="B37">
        <v>87</v>
      </c>
    </row>
    <row r="38" spans="1:2" x14ac:dyDescent="0.3">
      <c r="A38">
        <v>37</v>
      </c>
      <c r="B38">
        <v>41</v>
      </c>
    </row>
    <row r="39" spans="1:2" x14ac:dyDescent="0.3">
      <c r="A39">
        <v>38</v>
      </c>
      <c r="B39">
        <v>47</v>
      </c>
    </row>
    <row r="40" spans="1:2" x14ac:dyDescent="0.3">
      <c r="A40">
        <v>39</v>
      </c>
      <c r="B40">
        <v>85</v>
      </c>
    </row>
    <row r="41" spans="1:2" x14ac:dyDescent="0.3">
      <c r="A41">
        <v>40</v>
      </c>
      <c r="B41">
        <v>90</v>
      </c>
    </row>
    <row r="42" spans="1:2" x14ac:dyDescent="0.3">
      <c r="A42">
        <v>41</v>
      </c>
      <c r="B42">
        <v>48</v>
      </c>
    </row>
    <row r="43" spans="1:2" x14ac:dyDescent="0.3">
      <c r="A43">
        <v>42</v>
      </c>
      <c r="B43">
        <v>93</v>
      </c>
    </row>
    <row r="44" spans="1:2" x14ac:dyDescent="0.3">
      <c r="A44">
        <v>43</v>
      </c>
      <c r="B44">
        <v>75</v>
      </c>
    </row>
    <row r="45" spans="1:2" x14ac:dyDescent="0.3">
      <c r="A45">
        <v>44</v>
      </c>
      <c r="B45">
        <v>87</v>
      </c>
    </row>
    <row r="46" spans="1:2" x14ac:dyDescent="0.3">
      <c r="A46">
        <v>45</v>
      </c>
      <c r="B46">
        <v>96</v>
      </c>
    </row>
    <row r="47" spans="1:2" x14ac:dyDescent="0.3">
      <c r="A47">
        <v>46</v>
      </c>
      <c r="B47">
        <v>60</v>
      </c>
    </row>
    <row r="48" spans="1:2" x14ac:dyDescent="0.3">
      <c r="A48">
        <v>47</v>
      </c>
      <c r="B48">
        <v>52</v>
      </c>
    </row>
    <row r="49" spans="1:2" x14ac:dyDescent="0.3">
      <c r="A49">
        <v>48</v>
      </c>
      <c r="B49">
        <v>72</v>
      </c>
    </row>
    <row r="50" spans="1:2" x14ac:dyDescent="0.3">
      <c r="A50">
        <v>49</v>
      </c>
      <c r="B50">
        <v>43</v>
      </c>
    </row>
    <row r="51" spans="1:2" x14ac:dyDescent="0.3">
      <c r="A51">
        <v>50</v>
      </c>
      <c r="B51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4</v>
      </c>
    </row>
    <row r="2" spans="1:2" x14ac:dyDescent="0.3">
      <c r="A2">
        <v>1</v>
      </c>
      <c r="B2" t="s">
        <v>6</v>
      </c>
    </row>
    <row r="3" spans="1:2" x14ac:dyDescent="0.3">
      <c r="A3">
        <v>2</v>
      </c>
      <c r="B3" t="s">
        <v>8</v>
      </c>
    </row>
    <row r="4" spans="1:2" x14ac:dyDescent="0.3">
      <c r="A4">
        <v>3</v>
      </c>
      <c r="B4" t="s">
        <v>10</v>
      </c>
    </row>
    <row r="5" spans="1:2" x14ac:dyDescent="0.3">
      <c r="A5">
        <v>4</v>
      </c>
      <c r="B5" t="s">
        <v>6</v>
      </c>
    </row>
    <row r="6" spans="1:2" x14ac:dyDescent="0.3">
      <c r="A6">
        <v>5</v>
      </c>
      <c r="B6" t="s">
        <v>13</v>
      </c>
    </row>
    <row r="7" spans="1:2" x14ac:dyDescent="0.3">
      <c r="A7">
        <v>6</v>
      </c>
      <c r="B7" t="s">
        <v>13</v>
      </c>
    </row>
    <row r="8" spans="1:2" x14ac:dyDescent="0.3">
      <c r="A8">
        <v>7</v>
      </c>
      <c r="B8" t="s">
        <v>16</v>
      </c>
    </row>
    <row r="9" spans="1:2" x14ac:dyDescent="0.3">
      <c r="A9">
        <v>8</v>
      </c>
      <c r="B9" t="s">
        <v>6</v>
      </c>
    </row>
    <row r="10" spans="1:2" x14ac:dyDescent="0.3">
      <c r="A10">
        <v>9</v>
      </c>
      <c r="B10" t="s">
        <v>13</v>
      </c>
    </row>
    <row r="11" spans="1:2" x14ac:dyDescent="0.3">
      <c r="A11">
        <v>10</v>
      </c>
      <c r="B11" t="s">
        <v>16</v>
      </c>
    </row>
    <row r="12" spans="1:2" x14ac:dyDescent="0.3">
      <c r="A12">
        <v>11</v>
      </c>
      <c r="B12" t="s">
        <v>8</v>
      </c>
    </row>
    <row r="13" spans="1:2" x14ac:dyDescent="0.3">
      <c r="A13">
        <v>12</v>
      </c>
      <c r="B13" t="s">
        <v>22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16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27</v>
      </c>
    </row>
    <row r="18" spans="1:2" x14ac:dyDescent="0.3">
      <c r="A18">
        <v>17</v>
      </c>
      <c r="B18" t="s">
        <v>29</v>
      </c>
    </row>
    <row r="19" spans="1:2" x14ac:dyDescent="0.3">
      <c r="A19">
        <v>18</v>
      </c>
      <c r="B19" t="s">
        <v>22</v>
      </c>
    </row>
    <row r="20" spans="1:2" x14ac:dyDescent="0.3">
      <c r="A20">
        <v>19</v>
      </c>
      <c r="B20" t="s">
        <v>10</v>
      </c>
    </row>
    <row r="21" spans="1:2" x14ac:dyDescent="0.3">
      <c r="A21">
        <v>20</v>
      </c>
      <c r="B21" t="s">
        <v>29</v>
      </c>
    </row>
    <row r="22" spans="1:2" x14ac:dyDescent="0.3">
      <c r="A22">
        <v>21</v>
      </c>
      <c r="B22" t="s">
        <v>8</v>
      </c>
    </row>
    <row r="23" spans="1:2" x14ac:dyDescent="0.3">
      <c r="A23">
        <v>22</v>
      </c>
      <c r="B23" t="s">
        <v>29</v>
      </c>
    </row>
    <row r="24" spans="1:2" x14ac:dyDescent="0.3">
      <c r="A24">
        <v>23</v>
      </c>
      <c r="B24" t="s">
        <v>10</v>
      </c>
    </row>
    <row r="25" spans="1:2" x14ac:dyDescent="0.3">
      <c r="A25">
        <v>24</v>
      </c>
      <c r="B25" t="s">
        <v>27</v>
      </c>
    </row>
    <row r="26" spans="1:2" x14ac:dyDescent="0.3">
      <c r="A26">
        <v>25</v>
      </c>
      <c r="B26" t="s">
        <v>27</v>
      </c>
    </row>
    <row r="27" spans="1:2" x14ac:dyDescent="0.3">
      <c r="A27">
        <v>26</v>
      </c>
      <c r="B27" t="s">
        <v>29</v>
      </c>
    </row>
    <row r="28" spans="1:2" x14ac:dyDescent="0.3">
      <c r="A28">
        <v>27</v>
      </c>
      <c r="B28" t="s">
        <v>22</v>
      </c>
    </row>
    <row r="29" spans="1:2" x14ac:dyDescent="0.3">
      <c r="A29">
        <v>28</v>
      </c>
      <c r="B29" t="s">
        <v>13</v>
      </c>
    </row>
    <row r="30" spans="1:2" x14ac:dyDescent="0.3">
      <c r="A30">
        <v>29</v>
      </c>
      <c r="B30" t="s">
        <v>16</v>
      </c>
    </row>
    <row r="31" spans="1:2" x14ac:dyDescent="0.3">
      <c r="A31">
        <v>30</v>
      </c>
      <c r="B31" t="s">
        <v>10</v>
      </c>
    </row>
    <row r="32" spans="1:2" x14ac:dyDescent="0.3">
      <c r="A32">
        <v>31</v>
      </c>
      <c r="B32" t="s">
        <v>22</v>
      </c>
    </row>
    <row r="33" spans="1:2" x14ac:dyDescent="0.3">
      <c r="A33">
        <v>32</v>
      </c>
      <c r="B33" t="s">
        <v>8</v>
      </c>
    </row>
    <row r="34" spans="1:2" x14ac:dyDescent="0.3">
      <c r="A34">
        <v>33</v>
      </c>
      <c r="B34" t="s">
        <v>22</v>
      </c>
    </row>
    <row r="35" spans="1:2" x14ac:dyDescent="0.3">
      <c r="A35">
        <v>34</v>
      </c>
      <c r="B35" t="s">
        <v>8</v>
      </c>
    </row>
    <row r="36" spans="1:2" x14ac:dyDescent="0.3">
      <c r="A36">
        <v>35</v>
      </c>
      <c r="B36" t="s">
        <v>27</v>
      </c>
    </row>
    <row r="37" spans="1:2" x14ac:dyDescent="0.3">
      <c r="A37">
        <v>36</v>
      </c>
      <c r="B37" t="s">
        <v>13</v>
      </c>
    </row>
    <row r="38" spans="1:2" x14ac:dyDescent="0.3">
      <c r="A38">
        <v>37</v>
      </c>
      <c r="B38" t="s">
        <v>10</v>
      </c>
    </row>
    <row r="39" spans="1:2" x14ac:dyDescent="0.3">
      <c r="A39">
        <v>38</v>
      </c>
      <c r="B39" t="s">
        <v>16</v>
      </c>
    </row>
    <row r="40" spans="1:2" x14ac:dyDescent="0.3">
      <c r="A40">
        <v>39</v>
      </c>
      <c r="B40" t="s">
        <v>6</v>
      </c>
    </row>
    <row r="41" spans="1:2" x14ac:dyDescent="0.3">
      <c r="A41">
        <v>40</v>
      </c>
      <c r="B41" t="s">
        <v>16</v>
      </c>
    </row>
    <row r="42" spans="1:2" x14ac:dyDescent="0.3">
      <c r="A42">
        <v>41</v>
      </c>
      <c r="B42" t="s">
        <v>27</v>
      </c>
    </row>
    <row r="43" spans="1:2" x14ac:dyDescent="0.3">
      <c r="A43">
        <v>42</v>
      </c>
      <c r="B43" t="s">
        <v>10</v>
      </c>
    </row>
    <row r="44" spans="1:2" x14ac:dyDescent="0.3">
      <c r="A44">
        <v>43</v>
      </c>
      <c r="B44" t="s">
        <v>29</v>
      </c>
    </row>
    <row r="45" spans="1:2" x14ac:dyDescent="0.3">
      <c r="A45">
        <v>44</v>
      </c>
      <c r="B45" t="s">
        <v>16</v>
      </c>
    </row>
    <row r="46" spans="1:2" x14ac:dyDescent="0.3">
      <c r="A46">
        <v>45</v>
      </c>
      <c r="B46" t="s">
        <v>27</v>
      </c>
    </row>
    <row r="47" spans="1:2" x14ac:dyDescent="0.3">
      <c r="A47">
        <v>46</v>
      </c>
      <c r="B47" t="s">
        <v>27</v>
      </c>
    </row>
    <row r="48" spans="1:2" x14ac:dyDescent="0.3">
      <c r="A48">
        <v>47</v>
      </c>
      <c r="B48" t="s">
        <v>16</v>
      </c>
    </row>
    <row r="49" spans="1:2" x14ac:dyDescent="0.3">
      <c r="A49">
        <v>48</v>
      </c>
      <c r="B49" t="s">
        <v>13</v>
      </c>
    </row>
    <row r="50" spans="1:2" x14ac:dyDescent="0.3">
      <c r="A50">
        <v>49</v>
      </c>
      <c r="B50" t="s">
        <v>29</v>
      </c>
    </row>
    <row r="51" spans="1:2" x14ac:dyDescent="0.3">
      <c r="A51">
        <v>50</v>
      </c>
      <c r="B51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3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3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3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3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3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3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3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3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3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3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3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3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3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3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3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3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3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3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3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solutions</vt:lpstr>
      <vt:lpstr>ID_Name</vt:lpstr>
      <vt:lpstr>ID_Marks</vt:lpstr>
      <vt:lpstr>ID_City</vt:lpstr>
      <vt:lpstr>Sample_20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Archita Shilkande</cp:lastModifiedBy>
  <dcterms:created xsi:type="dcterms:W3CDTF">2025-09-29T08:00:59Z</dcterms:created>
  <dcterms:modified xsi:type="dcterms:W3CDTF">2026-05-19T08:27:42Z</dcterms:modified>
</cp:coreProperties>
</file>